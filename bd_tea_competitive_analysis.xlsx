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dea819f73f3f51/Documents/Projects/Tea Market Analysis/Excel/"/>
    </mc:Choice>
  </mc:AlternateContent>
  <xr:revisionPtr revIDLastSave="815" documentId="11_F25DC773A252ABDACC10483AA11F68865ADE58EE" xr6:coauthVersionLast="47" xr6:coauthVersionMax="47" xr10:uidLastSave="{C25F4A56-E322-4F4D-B194-C7177C3E139E}"/>
  <bookViews>
    <workbookView xWindow="-108" yWindow="-108" windowWidth="23256" windowHeight="12456" activeTab="1" xr2:uid="{00000000-000D-0000-FFFF-FFFF00000000}"/>
  </bookViews>
  <sheets>
    <sheet name="RawPrices" sheetId="2" r:id="rId1"/>
    <sheet name="Price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4" i="1"/>
  <c r="G3" i="1"/>
  <c r="G2" i="1"/>
  <c r="F7" i="1"/>
  <c r="F6" i="1"/>
  <c r="F5" i="1"/>
  <c r="F4" i="1"/>
  <c r="F3" i="1"/>
  <c r="F2" i="1"/>
  <c r="E3" i="1"/>
  <c r="H3" i="1" s="1"/>
  <c r="E2" i="1"/>
  <c r="C23" i="2"/>
  <c r="C3" i="2"/>
  <c r="C4" i="2"/>
  <c r="C5" i="2"/>
  <c r="C6" i="2"/>
  <c r="C7" i="2"/>
  <c r="C13" i="2"/>
  <c r="C14" i="2"/>
  <c r="C15" i="2"/>
  <c r="C16" i="2"/>
  <c r="C17" i="2"/>
  <c r="C18" i="2"/>
  <c r="C19" i="2"/>
  <c r="C20" i="2"/>
  <c r="C21" i="2"/>
  <c r="C22" i="2"/>
  <c r="C24" i="2"/>
  <c r="C25" i="2"/>
  <c r="C26" i="2"/>
  <c r="C27" i="2"/>
  <c r="C28" i="2"/>
  <c r="C29" i="2"/>
  <c r="C30" i="2"/>
  <c r="C31" i="2"/>
  <c r="C32" i="2"/>
  <c r="C33" i="2"/>
  <c r="C34" i="2"/>
  <c r="C35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2" i="2"/>
  <c r="J7" i="1"/>
  <c r="J6" i="1"/>
  <c r="J5" i="1"/>
  <c r="J4" i="1"/>
  <c r="J3" i="1"/>
  <c r="J2" i="1"/>
  <c r="K2" i="1" s="1"/>
  <c r="I7" i="1"/>
  <c r="I6" i="1"/>
  <c r="I5" i="1"/>
  <c r="I4" i="1"/>
  <c r="L4" i="1" s="1"/>
  <c r="I3" i="1"/>
  <c r="L3" i="1" s="1"/>
  <c r="I2" i="1"/>
  <c r="E6" i="1"/>
  <c r="H6" i="1" s="1"/>
  <c r="H56" i="2"/>
  <c r="H55" i="2"/>
  <c r="D7" i="1" s="1"/>
  <c r="H54" i="2"/>
  <c r="C7" i="1" s="1"/>
  <c r="H53" i="2"/>
  <c r="H52" i="2"/>
  <c r="H51" i="2"/>
  <c r="D6" i="1" s="1"/>
  <c r="H50" i="2"/>
  <c r="H49" i="2"/>
  <c r="H48" i="2"/>
  <c r="H47" i="2"/>
  <c r="H46" i="2"/>
  <c r="H45" i="2"/>
  <c r="H44" i="2"/>
  <c r="E5" i="1" s="1"/>
  <c r="H5" i="1" s="1"/>
  <c r="H43" i="2"/>
  <c r="H42" i="2"/>
  <c r="H41" i="2"/>
  <c r="H40" i="2"/>
  <c r="H39" i="2"/>
  <c r="H38" i="2"/>
  <c r="E4" i="1" s="1"/>
  <c r="H4" i="1" s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C3" i="1" s="1"/>
  <c r="H11" i="2"/>
  <c r="H14" i="2"/>
  <c r="H13" i="2"/>
  <c r="H12" i="2"/>
  <c r="H10" i="2"/>
  <c r="H9" i="2"/>
  <c r="H8" i="2"/>
  <c r="H7" i="2"/>
  <c r="D2" i="1" s="1"/>
  <c r="H6" i="2"/>
  <c r="H5" i="2"/>
  <c r="H4" i="2"/>
  <c r="H3" i="2"/>
  <c r="H2" i="2"/>
  <c r="K5" i="1" l="1"/>
  <c r="K6" i="1"/>
  <c r="L7" i="1"/>
  <c r="K3" i="1"/>
  <c r="K4" i="1"/>
  <c r="K7" i="1"/>
  <c r="L2" i="1"/>
  <c r="L5" i="1"/>
  <c r="L6" i="1"/>
  <c r="I8" i="1"/>
  <c r="H2" i="1"/>
  <c r="E7" i="1"/>
  <c r="H7" i="1" s="1"/>
  <c r="C2" i="1"/>
  <c r="D4" i="1"/>
  <c r="C4" i="1"/>
  <c r="D3" i="1"/>
  <c r="C5" i="1"/>
  <c r="D5" i="1"/>
  <c r="C6" i="1"/>
</calcChain>
</file>

<file path=xl/sharedStrings.xml><?xml version="1.0" encoding="utf-8"?>
<sst xmlns="http://schemas.openxmlformats.org/spreadsheetml/2006/main" count="291" uniqueCount="90">
  <si>
    <t>Brand</t>
  </si>
  <si>
    <t>Parent Company</t>
  </si>
  <si>
    <t>Price Tier</t>
  </si>
  <si>
    <t>No. of SKUs on Chaldal</t>
  </si>
  <si>
    <t>FB Followers</t>
  </si>
  <si>
    <t>Export Market</t>
  </si>
  <si>
    <t>Min Price per 100g</t>
  </si>
  <si>
    <t>Max Price per 100g</t>
  </si>
  <si>
    <t>Avg Price per 100g</t>
  </si>
  <si>
    <t>Product</t>
  </si>
  <si>
    <t>Format</t>
  </si>
  <si>
    <t>Weight (g)</t>
  </si>
  <si>
    <t>Price/100g</t>
  </si>
  <si>
    <t>Ispahani</t>
  </si>
  <si>
    <t>M. M. Ispahani Limited</t>
  </si>
  <si>
    <t>Yes</t>
  </si>
  <si>
    <t>Both</t>
  </si>
  <si>
    <t>Distribution (Online/Retail/Both)</t>
  </si>
  <si>
    <t>Mirzapore Best Leaf Tea</t>
  </si>
  <si>
    <t>Loose</t>
  </si>
  <si>
    <t>Mirzapore Tea Bag</t>
  </si>
  <si>
    <t>Teabag</t>
  </si>
  <si>
    <t>Mirzapore BOP Tea</t>
  </si>
  <si>
    <t>Mirzapore Red Dust (RD) Tea</t>
  </si>
  <si>
    <t>Blender's Choice Premium Black Tea</t>
  </si>
  <si>
    <t>Blender's Choice Premium Green Tea Bag</t>
  </si>
  <si>
    <t xml:space="preserve">Price </t>
  </si>
  <si>
    <t>Blender's Choice Black Tea</t>
  </si>
  <si>
    <t>Mirzapore PD Tea</t>
  </si>
  <si>
    <t xml:space="preserve">Stock Status </t>
  </si>
  <si>
    <t>In Stock</t>
  </si>
  <si>
    <t>Out of Stock</t>
  </si>
  <si>
    <t>Kazi &amp; Kazi</t>
  </si>
  <si>
    <t>Organic Green Tea</t>
  </si>
  <si>
    <t>Organic Tea Turmeric Infusion</t>
  </si>
  <si>
    <t>Organic Orthodox Green Tea</t>
  </si>
  <si>
    <t>Organic Pristine Black Tea</t>
  </si>
  <si>
    <t>Organic Tulsi Tea</t>
  </si>
  <si>
    <t>Organic Green Mint Tea</t>
  </si>
  <si>
    <t>Organic Green Lemongrass Tea</t>
  </si>
  <si>
    <t>Organic Lemongrass Herbal Infusion</t>
  </si>
  <si>
    <t>Organic Jasmine Green Tea</t>
  </si>
  <si>
    <t>Organic Ginger Tea</t>
  </si>
  <si>
    <t>Organic Black Tea</t>
  </si>
  <si>
    <t>Organic Orthodox Pyramid Black Tea</t>
  </si>
  <si>
    <t>Organic Luxury Black Tea</t>
  </si>
  <si>
    <t>Organic Moringa Herbal Infusion Tea</t>
  </si>
  <si>
    <t>Organic Chamomile Herbal Infusion Tea</t>
  </si>
  <si>
    <t>Organic Sleepy Tea</t>
  </si>
  <si>
    <t>Organic Orthodox Pyramid Oolong Tea</t>
  </si>
  <si>
    <t>Organic Orthodox Pyramid Green Tea</t>
  </si>
  <si>
    <t>Organic Orthodox Black Tea</t>
  </si>
  <si>
    <t>Organic Lemongrass Pyramid Herbal Infusion Tea</t>
  </si>
  <si>
    <t>Organic Northern Harmony</t>
  </si>
  <si>
    <t>Organic Tea Family Pack</t>
  </si>
  <si>
    <t>Organic First Flush Black Tea</t>
  </si>
  <si>
    <t>Finlay</t>
  </si>
  <si>
    <t>Gold Tea</t>
  </si>
  <si>
    <t>Premium Tea</t>
  </si>
  <si>
    <t>Natural Green Tea</t>
  </si>
  <si>
    <t>English Breakfast Tea</t>
  </si>
  <si>
    <t>Seylon</t>
  </si>
  <si>
    <t>Instant Milk Tea 3 in 1</t>
  </si>
  <si>
    <t>Stick pack</t>
  </si>
  <si>
    <t>Family Blend Black Tea</t>
  </si>
  <si>
    <t>Family Blend Tea Poly</t>
  </si>
  <si>
    <t>PD Tea</t>
  </si>
  <si>
    <t>Fresh</t>
  </si>
  <si>
    <t>Premium Black Tea</t>
  </si>
  <si>
    <t>Premium Masala Tea</t>
  </si>
  <si>
    <t>Organic Certification</t>
  </si>
  <si>
    <t>No</t>
  </si>
  <si>
    <t>Abul Khair Group</t>
  </si>
  <si>
    <t>Meghna Group of Industries</t>
  </si>
  <si>
    <t>Brooke Bond Taaza</t>
  </si>
  <si>
    <t>Unilever Bangladesh Limited</t>
  </si>
  <si>
    <t>Gemcon Group</t>
  </si>
  <si>
    <t>The Consolidated Tea and Lands Company (Bangladesh) Limited  + Baraoora (Sylhet) Tea Company Limited</t>
  </si>
  <si>
    <t>Black Tea</t>
  </si>
  <si>
    <t>SKUs In Stock</t>
  </si>
  <si>
    <t>Fairtrade Certification</t>
  </si>
  <si>
    <t>Notes</t>
  </si>
  <si>
    <t>Only 2/6 SKUs in stock which implies possible distribution or supply issues</t>
  </si>
  <si>
    <t>Category</t>
  </si>
  <si>
    <t>Average price split by category due to wide range</t>
  </si>
  <si>
    <t>Total No. of SKUs on Chaldal</t>
  </si>
  <si>
    <t>Out of Stock Rate</t>
  </si>
  <si>
    <t>In Stock Rate</t>
  </si>
  <si>
    <t>Avg Price of Loose tea</t>
  </si>
  <si>
    <t>Avg price of Teabags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</si>
</sst>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[$৳-845]"/>
    <numFmt numFmtId="165" formatCode="#,##0[$৳-845]"/>
    <numFmt numFmtId="166" formatCode="#,##0_ ;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2" fillId="0" borderId="0" xfId="0" applyFont="1"/>
    <xf numFmtId="164" fontId="0" fillId="2" borderId="0" xfId="0" applyNumberFormat="1" applyFill="1"/>
    <xf numFmtId="166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18">
    <dxf>
      <numFmt numFmtId="166" formatCode="#,##0_ ;\-#,##0\ "/>
    </dxf>
    <dxf>
      <numFmt numFmtId="164" formatCode="#,##0.00[$৳-845]"/>
      <fill>
        <patternFill patternType="solid">
          <fgColor indexed="64"/>
          <bgColor theme="9" tint="0.79998168889431442"/>
        </patternFill>
      </fill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5" formatCode="#,##0[$৳-845]"/>
    </dxf>
    <dxf>
      <numFmt numFmtId="166" formatCode="#,##0_ ;\-#,##0\ "/>
    </dxf>
    <dxf>
      <numFmt numFmtId="13" formatCode="0%"/>
    </dxf>
    <dxf>
      <numFmt numFmtId="13" formatCode="0%"/>
    </dxf>
    <dxf>
      <numFmt numFmtId="164" formatCode="#,##0.00[$৳-845]"/>
    </dxf>
    <dxf>
      <numFmt numFmtId="164" formatCode="#,##0.00[$৳-845]"/>
    </dxf>
    <dxf>
      <numFmt numFmtId="164" formatCode="#,##0.00[$৳-845]"/>
    </dxf>
    <dxf>
      <numFmt numFmtId="164" formatCode="#,##0.00[$৳-845]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0F22D-83DB-48C5-900F-A9B9FCBDB957}" name="Table2" displayName="Table2" ref="A1:H56" totalsRowShown="0">
  <autoFilter ref="A1:H56" xr:uid="{A130F22D-83DB-48C5-900F-A9B9FCBDB957}"/>
  <tableColumns count="8">
    <tableColumn id="1" xr3:uid="{7B3F5798-EC59-464C-8E4B-729EA9F06273}" name="Brand"/>
    <tableColumn id="2" xr3:uid="{B3954FFD-9FA3-4BAD-9B0B-A0971B0A7ADD}" name="Product"/>
    <tableColumn id="7" xr3:uid="{3A7FDE2C-923F-42E7-AE19-F654472E501B}" name="Category">
      <calculatedColumnFormula>IF(Table2[[#This Row],[Brand]]="Kazi &amp; Kazi", IF(ISNUMBER(SEARCH("Black",Table2[[#This Row],[Product]])),"Black Tea", IF(ISNUMBER(SEARCH("Green",Table2[[#This Row],[Product]])),"Green Tea","Specialty/Herbal")), "")</calculatedColumnFormula>
    </tableColumn>
    <tableColumn id="3" xr3:uid="{12FBC5F2-021E-41F9-A2DC-E394B9CF51BD}" name="Format"/>
    <tableColumn id="9" xr3:uid="{B12450C0-E97F-473C-91F5-CB54CA34B616}" name="Stock Status "/>
    <tableColumn id="4" xr3:uid="{41B27BAB-2E9E-48A6-99D1-17C3149FAFC5}" name="Weight (g)"/>
    <tableColumn id="5" xr3:uid="{26673BEA-07A6-427B-BC9E-24CF9EC866AE}" name="Price " dataDxfId="10"/>
    <tableColumn id="6" xr3:uid="{0D966288-BB06-4FB5-A105-0279214D6B04}" name="Price/100g" dataDxfId="9">
      <calculatedColumnFormula>Table2[[#This Row],[Price ]]/Table2[[#This Row],[Weight (g)]]*100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59E2C-32CD-4725-91CD-FBAA96EDAE70}" name="Table1" displayName="Table1" ref="A1:R8" totalsRowCount="1">
  <autoFilter ref="A1:R7" xr:uid="{A2459E2C-32CD-4725-91CD-FBAA96EDAE70}"/>
  <tableColumns count="18">
    <tableColumn id="1" xr3:uid="{334827CD-70F5-4D9D-AE1E-83F8E90E6FCA}" name="Brand"/>
    <tableColumn id="2" xr3:uid="{5130FACE-502C-4AB0-9A94-6ABF4A07D010}" name="Parent Company"/>
    <tableColumn id="5" xr3:uid="{4F86D8C1-5A7F-43C1-8859-C7EBB7F0A2BF}" name="Min Price per 100g" dataDxfId="17" totalsRowDxfId="6">
      <calculatedColumnFormula>_xlfn.MINIFS(Table2[[#Headers],[Brand]],Table2[[#This Row],[Brand]],RawPrices!H53)</calculatedColumnFormula>
    </tableColumn>
    <tableColumn id="6" xr3:uid="{115B01CF-9722-4ED7-898E-F8FE55AD0735}" name="Max Price per 100g" dataDxfId="16" totalsRowDxfId="5"/>
    <tableColumn id="7" xr3:uid="{7224AFDC-EBED-4932-A12B-9F2C9D6B6E26}" name="Avg Price per 100g" dataDxfId="15" totalsRowDxfId="4"/>
    <tableColumn id="16" xr3:uid="{E755CA91-C2A9-496D-82AD-89D5F48A46D1}" name="Avg Price of Loose tea" dataDxfId="7" totalsRowDxfId="3">
      <calculatedColumnFormula>AVERAGEIFS(RawPrices!H:H,RawPrices!A:A,"Ispahani",RawPrices!D:D,"Loose")</calculatedColumnFormula>
    </tableColumn>
    <tableColumn id="15" xr3:uid="{32604E03-9E54-454E-BD07-6962B9A75102}" name="Avg price of Teabags" dataDxfId="8" totalsRowDxfId="2">
      <calculatedColumnFormula>AVERAGEIFS(RawPrices!H:H,RawPrices!A:A,"Ispahani", RawPrices!D:D,"Teabag")</calculatedColumnFormula>
    </tableColumn>
    <tableColumn id="14" xr3:uid="{AF6C5B9C-141F-4882-B65B-AAD750F74C73}" name="Price Tier" totalsRowLabel="Total No. of SKUs on Chaldal" dataDxfId="14" totalsRowDxfId="1"/>
    <tableColumn id="8" xr3:uid="{B2976E73-D66D-48D8-8783-5749CF5145D7}" name="No. of SKUs on Chaldal" totalsRowFunction="sum"/>
    <tableColumn id="9" xr3:uid="{99FE7A57-E976-4884-8487-96FBB5968198}" name="SKUs In Stock"/>
    <tableColumn id="19" xr3:uid="{12AC1A73-05FF-49AB-BC70-CB3C35DFD490}" name="In Stock Rate" dataDxfId="13">
      <calculatedColumnFormula>_xlfn.PERCENTOF(Table1[[#This Row],[SKUs In Stock]],Table1[[#This Row],[No. of SKUs on Chaldal]])</calculatedColumnFormula>
    </tableColumn>
    <tableColumn id="18" xr3:uid="{769C326D-D1F9-4201-B8E3-0AC711DDA4DF}" name="Out of Stock Rate" dataDxfId="12">
      <calculatedColumnFormula>_xlfn.PERCENTOF(Table1[[#This Row],[No. of SKUs on Chaldal]]-Table1[[#This Row],[SKUs In Stock]],Table1[[#This Row],[No. of SKUs on Chaldal]])</calculatedColumnFormula>
    </tableColumn>
    <tableColumn id="10" xr3:uid="{4339506D-281A-407E-9C0F-DC80532BDBB1}" name="Organic Certification"/>
    <tableColumn id="3" xr3:uid="{8D01D319-0180-43CB-B071-08C1260AFB87}" name="Fairtrade Certification"/>
    <tableColumn id="11" xr3:uid="{0AE40CE1-7B29-4D1E-AB24-C61DAC2EF003}" name="FB Followers" dataDxfId="11" totalsRowDxfId="0" dataCellStyle="Comma"/>
    <tableColumn id="12" xr3:uid="{16EFB77C-F4CE-4BBC-8397-F86D5AF08D8B}" name="Export Market"/>
    <tableColumn id="4" xr3:uid="{231EE02F-4B8C-4398-B2C3-41BC5BBEE031}" name="Distribution (Online/Retail/Both)"/>
    <tableColumn id="13" xr3:uid="{47C78A25-C332-47EA-B746-138476C84EAA}" name="Note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EFE-1F03-462D-8702-0153A082CD12}">
  <dimension ref="A1:H56"/>
  <sheetViews>
    <sheetView workbookViewId="0">
      <selection activeCell="I8" sqref="I8"/>
    </sheetView>
  </sheetViews>
  <sheetFormatPr defaultRowHeight="14.4" x14ac:dyDescent="0.3"/>
  <cols>
    <col min="1" max="1" width="16.88671875" bestFit="1" customWidth="1"/>
    <col min="2" max="2" width="41.33203125" bestFit="1" customWidth="1"/>
    <col min="3" max="3" width="14.44140625" bestFit="1" customWidth="1"/>
    <col min="4" max="4" width="9.21875" bestFit="1" customWidth="1"/>
    <col min="5" max="5" width="14" bestFit="1" customWidth="1"/>
    <col min="6" max="6" width="12" bestFit="1" customWidth="1"/>
    <col min="7" max="7" width="7.77734375" style="2" bestFit="1" customWidth="1"/>
    <col min="8" max="8" width="12.21875" style="1" bestFit="1" customWidth="1"/>
  </cols>
  <sheetData>
    <row r="1" spans="1:8" x14ac:dyDescent="0.3">
      <c r="A1" t="s">
        <v>0</v>
      </c>
      <c r="B1" t="s">
        <v>9</v>
      </c>
      <c r="C1" t="s">
        <v>83</v>
      </c>
      <c r="D1" t="s">
        <v>10</v>
      </c>
      <c r="E1" t="s">
        <v>29</v>
      </c>
      <c r="F1" t="s">
        <v>11</v>
      </c>
      <c r="G1" s="2" t="s">
        <v>26</v>
      </c>
      <c r="H1" s="1" t="s">
        <v>12</v>
      </c>
    </row>
    <row r="2" spans="1:8" x14ac:dyDescent="0.3">
      <c r="A2" t="s">
        <v>13</v>
      </c>
      <c r="B2" t="s">
        <v>18</v>
      </c>
      <c r="C2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2" t="s">
        <v>19</v>
      </c>
      <c r="E2" t="s">
        <v>30</v>
      </c>
      <c r="F2">
        <v>500</v>
      </c>
      <c r="G2" s="2">
        <v>270</v>
      </c>
      <c r="H2" s="1">
        <f>Table2[[#This Row],[Price ]]/Table2[[#This Row],[Weight (g)]]*100</f>
        <v>54</v>
      </c>
    </row>
    <row r="3" spans="1:8" x14ac:dyDescent="0.3">
      <c r="A3" t="s">
        <v>13</v>
      </c>
      <c r="B3" t="s">
        <v>20</v>
      </c>
      <c r="C3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3" t="s">
        <v>21</v>
      </c>
      <c r="E3" t="s">
        <v>30</v>
      </c>
      <c r="F3">
        <v>100</v>
      </c>
      <c r="G3" s="2">
        <v>100</v>
      </c>
      <c r="H3" s="1">
        <f>Table2[[#This Row],[Price ]]/Table2[[#This Row],[Weight (g)]]*100</f>
        <v>100</v>
      </c>
    </row>
    <row r="4" spans="1:8" x14ac:dyDescent="0.3">
      <c r="A4" t="s">
        <v>13</v>
      </c>
      <c r="B4" t="s">
        <v>18</v>
      </c>
      <c r="C4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" t="s">
        <v>19</v>
      </c>
      <c r="E4" t="s">
        <v>30</v>
      </c>
      <c r="F4">
        <v>400</v>
      </c>
      <c r="G4" s="2">
        <v>230</v>
      </c>
      <c r="H4" s="1">
        <f>Table2[[#This Row],[Price ]]/Table2[[#This Row],[Weight (g)]]*100</f>
        <v>57.499999999999993</v>
      </c>
    </row>
    <row r="5" spans="1:8" x14ac:dyDescent="0.3">
      <c r="A5" t="s">
        <v>13</v>
      </c>
      <c r="B5" t="s">
        <v>18</v>
      </c>
      <c r="C5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" t="s">
        <v>19</v>
      </c>
      <c r="E5" t="s">
        <v>30</v>
      </c>
      <c r="F5">
        <v>200</v>
      </c>
      <c r="G5" s="2">
        <v>116</v>
      </c>
      <c r="H5" s="1">
        <f>Table2[[#This Row],[Price ]]/Table2[[#This Row],[Weight (g)]]*100</f>
        <v>57.999999999999993</v>
      </c>
    </row>
    <row r="6" spans="1:8" x14ac:dyDescent="0.3">
      <c r="A6" t="s">
        <v>13</v>
      </c>
      <c r="B6" t="s">
        <v>22</v>
      </c>
      <c r="C6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6" t="s">
        <v>19</v>
      </c>
      <c r="E6" t="s">
        <v>30</v>
      </c>
      <c r="F6">
        <v>500</v>
      </c>
      <c r="G6" s="2">
        <v>240</v>
      </c>
      <c r="H6" s="1">
        <f>Table2[[#This Row],[Price ]]/Table2[[#This Row],[Weight (g)]]*100</f>
        <v>48</v>
      </c>
    </row>
    <row r="7" spans="1:8" x14ac:dyDescent="0.3">
      <c r="A7" t="s">
        <v>13</v>
      </c>
      <c r="B7" t="s">
        <v>23</v>
      </c>
      <c r="C7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7" t="s">
        <v>19</v>
      </c>
      <c r="E7" t="s">
        <v>31</v>
      </c>
      <c r="F7">
        <v>400</v>
      </c>
      <c r="G7" s="2">
        <v>185</v>
      </c>
      <c r="H7" s="1">
        <f>Table2[[#This Row],[Price ]]/Table2[[#This Row],[Weight (g)]]*100</f>
        <v>46.25</v>
      </c>
    </row>
    <row r="8" spans="1:8" x14ac:dyDescent="0.3">
      <c r="A8" t="s">
        <v>13</v>
      </c>
      <c r="B8" t="s">
        <v>24</v>
      </c>
      <c r="C8" t="s">
        <v>58</v>
      </c>
      <c r="D8" t="s">
        <v>19</v>
      </c>
      <c r="E8" t="s">
        <v>30</v>
      </c>
      <c r="F8">
        <v>400</v>
      </c>
      <c r="G8" s="2">
        <v>310</v>
      </c>
      <c r="H8" s="1">
        <f>Table2[[#This Row],[Price ]]/Table2[[#This Row],[Weight (g)]]*100</f>
        <v>77.5</v>
      </c>
    </row>
    <row r="9" spans="1:8" x14ac:dyDescent="0.3">
      <c r="A9" t="s">
        <v>13</v>
      </c>
      <c r="B9" t="s">
        <v>24</v>
      </c>
      <c r="C9" t="s">
        <v>58</v>
      </c>
      <c r="D9" t="s">
        <v>19</v>
      </c>
      <c r="E9" t="s">
        <v>30</v>
      </c>
      <c r="F9">
        <v>200</v>
      </c>
      <c r="G9" s="2">
        <v>160</v>
      </c>
      <c r="H9" s="1">
        <f>Table2[[#This Row],[Price ]]/Table2[[#This Row],[Weight (g)]]*100</f>
        <v>80</v>
      </c>
    </row>
    <row r="10" spans="1:8" x14ac:dyDescent="0.3">
      <c r="A10" t="s">
        <v>13</v>
      </c>
      <c r="B10" t="s">
        <v>25</v>
      </c>
      <c r="C10" t="s">
        <v>58</v>
      </c>
      <c r="D10" t="s">
        <v>21</v>
      </c>
      <c r="E10" t="s">
        <v>30</v>
      </c>
      <c r="F10">
        <v>70</v>
      </c>
      <c r="G10" s="2">
        <v>205</v>
      </c>
      <c r="H10" s="1">
        <f>Table2[[#This Row],[Price ]]/Table2[[#This Row],[Weight (g)]]*100</f>
        <v>292.85714285714283</v>
      </c>
    </row>
    <row r="11" spans="1:8" x14ac:dyDescent="0.3">
      <c r="A11" t="s">
        <v>13</v>
      </c>
      <c r="B11" t="s">
        <v>25</v>
      </c>
      <c r="C11" t="s">
        <v>58</v>
      </c>
      <c r="D11" t="s">
        <v>21</v>
      </c>
      <c r="E11" t="s">
        <v>31</v>
      </c>
      <c r="F11">
        <v>35</v>
      </c>
      <c r="G11" s="2">
        <v>110</v>
      </c>
      <c r="H11" s="1">
        <f>Table2[[#This Row],[Price ]]/Table2[[#This Row],[Weight (g)]]*100</f>
        <v>314.28571428571428</v>
      </c>
    </row>
    <row r="12" spans="1:8" x14ac:dyDescent="0.3">
      <c r="A12" t="s">
        <v>13</v>
      </c>
      <c r="B12" t="s">
        <v>27</v>
      </c>
      <c r="C12" t="s">
        <v>58</v>
      </c>
      <c r="D12" t="s">
        <v>19</v>
      </c>
      <c r="E12" t="s">
        <v>30</v>
      </c>
      <c r="F12">
        <v>400</v>
      </c>
      <c r="G12" s="2">
        <v>310</v>
      </c>
      <c r="H12" s="1">
        <f>Table2[[#This Row],[Price ]]/Table2[[#This Row],[Weight (g)]]*100</f>
        <v>77.5</v>
      </c>
    </row>
    <row r="13" spans="1:8" x14ac:dyDescent="0.3">
      <c r="A13" t="s">
        <v>13</v>
      </c>
      <c r="B13" t="s">
        <v>28</v>
      </c>
      <c r="C13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13" t="s">
        <v>19</v>
      </c>
      <c r="E13" t="s">
        <v>30</v>
      </c>
      <c r="F13">
        <v>500</v>
      </c>
      <c r="G13" s="2">
        <v>232</v>
      </c>
      <c r="H13" s="1">
        <f>Table2[[#This Row],[Price ]]/Table2[[#This Row],[Weight (g)]]*100</f>
        <v>46.400000000000006</v>
      </c>
    </row>
    <row r="14" spans="1:8" x14ac:dyDescent="0.3">
      <c r="A14" t="s">
        <v>32</v>
      </c>
      <c r="B14" t="s">
        <v>33</v>
      </c>
      <c r="C14" t="str">
        <f>IF(Table2[[#This Row],[Brand]]="Kazi &amp; Kazi", IF(ISNUMBER(SEARCH("Black",Table2[[#This Row],[Product]])),"Black Tea", IF(ISNUMBER(SEARCH("Green",Table2[[#This Row],[Product]])),"Green Tea","Specialty/Herbal")), "")</f>
        <v>Green Tea</v>
      </c>
      <c r="D14" t="s">
        <v>21</v>
      </c>
      <c r="E14" t="s">
        <v>30</v>
      </c>
      <c r="F14">
        <v>60</v>
      </c>
      <c r="G14" s="2">
        <v>215</v>
      </c>
      <c r="H14" s="1">
        <f>Table2[[#This Row],[Price ]]/Table2[[#This Row],[Weight (g)]]*100</f>
        <v>358.33333333333337</v>
      </c>
    </row>
    <row r="15" spans="1:8" x14ac:dyDescent="0.3">
      <c r="A15" t="s">
        <v>32</v>
      </c>
      <c r="B15" t="s">
        <v>34</v>
      </c>
      <c r="C15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15" t="s">
        <v>21</v>
      </c>
      <c r="E15" t="s">
        <v>30</v>
      </c>
      <c r="F15">
        <v>60</v>
      </c>
      <c r="G15" s="2">
        <v>295</v>
      </c>
      <c r="H15" s="1">
        <f>Table2[[#This Row],[Price ]]/Table2[[#This Row],[Weight (g)]]*100</f>
        <v>491.66666666666669</v>
      </c>
    </row>
    <row r="16" spans="1:8" x14ac:dyDescent="0.3">
      <c r="A16" t="s">
        <v>32</v>
      </c>
      <c r="B16" t="s">
        <v>35</v>
      </c>
      <c r="C16" t="str">
        <f>IF(Table2[[#This Row],[Brand]]="Kazi &amp; Kazi", IF(ISNUMBER(SEARCH("Black",Table2[[#This Row],[Product]])),"Black Tea", IF(ISNUMBER(SEARCH("Green",Table2[[#This Row],[Product]])),"Green Tea","Specialty/Herbal")), "")</f>
        <v>Green Tea</v>
      </c>
      <c r="D16" t="s">
        <v>19</v>
      </c>
      <c r="E16" t="s">
        <v>30</v>
      </c>
      <c r="F16">
        <v>100</v>
      </c>
      <c r="G16" s="2">
        <v>215</v>
      </c>
      <c r="H16" s="1">
        <f>Table2[[#This Row],[Price ]]/Table2[[#This Row],[Weight (g)]]*100</f>
        <v>215</v>
      </c>
    </row>
    <row r="17" spans="1:8" x14ac:dyDescent="0.3">
      <c r="A17" t="s">
        <v>32</v>
      </c>
      <c r="B17" t="s">
        <v>36</v>
      </c>
      <c r="C17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17" t="s">
        <v>19</v>
      </c>
      <c r="E17" t="s">
        <v>31</v>
      </c>
      <c r="F17">
        <v>200</v>
      </c>
      <c r="G17" s="2">
        <v>140</v>
      </c>
      <c r="H17" s="1">
        <f>Table2[[#This Row],[Price ]]/Table2[[#This Row],[Weight (g)]]*100</f>
        <v>70</v>
      </c>
    </row>
    <row r="18" spans="1:8" x14ac:dyDescent="0.3">
      <c r="A18" t="s">
        <v>32</v>
      </c>
      <c r="B18" t="s">
        <v>37</v>
      </c>
      <c r="C18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18" t="s">
        <v>21</v>
      </c>
      <c r="E18" t="s">
        <v>30</v>
      </c>
      <c r="F18">
        <v>60</v>
      </c>
      <c r="G18" s="2">
        <v>195</v>
      </c>
      <c r="H18" s="1">
        <f>Table2[[#This Row],[Price ]]/Table2[[#This Row],[Weight (g)]]*100</f>
        <v>325</v>
      </c>
    </row>
    <row r="19" spans="1:8" x14ac:dyDescent="0.3">
      <c r="A19" t="s">
        <v>32</v>
      </c>
      <c r="B19" t="s">
        <v>38</v>
      </c>
      <c r="C19" t="str">
        <f>IF(Table2[[#This Row],[Brand]]="Kazi &amp; Kazi", IF(ISNUMBER(SEARCH("Black",Table2[[#This Row],[Product]])),"Black Tea", IF(ISNUMBER(SEARCH("Green",Table2[[#This Row],[Product]])),"Green Tea","Specialty/Herbal")), "")</f>
        <v>Green Tea</v>
      </c>
      <c r="D19" t="s">
        <v>21</v>
      </c>
      <c r="E19" t="s">
        <v>30</v>
      </c>
      <c r="F19">
        <v>37.5</v>
      </c>
      <c r="G19" s="2">
        <v>295</v>
      </c>
      <c r="H19" s="1">
        <f>Table2[[#This Row],[Price ]]/Table2[[#This Row],[Weight (g)]]*100</f>
        <v>786.66666666666663</v>
      </c>
    </row>
    <row r="20" spans="1:8" x14ac:dyDescent="0.3">
      <c r="A20" t="s">
        <v>32</v>
      </c>
      <c r="B20" t="s">
        <v>39</v>
      </c>
      <c r="C20" t="str">
        <f>IF(Table2[[#This Row],[Brand]]="Kazi &amp; Kazi", IF(ISNUMBER(SEARCH("Black",Table2[[#This Row],[Product]])),"Black Tea", IF(ISNUMBER(SEARCH("Green",Table2[[#This Row],[Product]])),"Green Tea","Specialty/Herbal")), "")</f>
        <v>Green Tea</v>
      </c>
      <c r="D20" t="s">
        <v>21</v>
      </c>
      <c r="E20" t="s">
        <v>31</v>
      </c>
      <c r="F20">
        <v>60</v>
      </c>
      <c r="G20" s="2">
        <v>220</v>
      </c>
      <c r="H20" s="1">
        <f>Table2[[#This Row],[Price ]]/Table2[[#This Row],[Weight (g)]]*100</f>
        <v>366.66666666666663</v>
      </c>
    </row>
    <row r="21" spans="1:8" x14ac:dyDescent="0.3">
      <c r="A21" t="s">
        <v>32</v>
      </c>
      <c r="B21" t="s">
        <v>40</v>
      </c>
      <c r="C21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21" t="s">
        <v>19</v>
      </c>
      <c r="E21" t="s">
        <v>30</v>
      </c>
      <c r="F21">
        <v>50</v>
      </c>
      <c r="G21" s="2">
        <v>195</v>
      </c>
      <c r="H21" s="1">
        <f>Table2[[#This Row],[Price ]]/Table2[[#This Row],[Weight (g)]]*100</f>
        <v>390</v>
      </c>
    </row>
    <row r="22" spans="1:8" x14ac:dyDescent="0.3">
      <c r="A22" t="s">
        <v>32</v>
      </c>
      <c r="B22" t="s">
        <v>41</v>
      </c>
      <c r="C22" t="str">
        <f>IF(Table2[[#This Row],[Brand]]="Kazi &amp; Kazi", IF(ISNUMBER(SEARCH("Black",Table2[[#This Row],[Product]])),"Black Tea", IF(ISNUMBER(SEARCH("Green",Table2[[#This Row],[Product]])),"Green Tea","Specialty/Herbal")), "")</f>
        <v>Green Tea</v>
      </c>
      <c r="D22" t="s">
        <v>21</v>
      </c>
      <c r="E22" t="s">
        <v>30</v>
      </c>
      <c r="F22">
        <v>60</v>
      </c>
      <c r="G22" s="2">
        <v>215</v>
      </c>
      <c r="H22" s="1">
        <f>Table2[[#This Row],[Price ]]/Table2[[#This Row],[Weight (g)]]*100</f>
        <v>358.33333333333337</v>
      </c>
    </row>
    <row r="23" spans="1:8" x14ac:dyDescent="0.3">
      <c r="A23" t="s">
        <v>32</v>
      </c>
      <c r="B23" t="s">
        <v>42</v>
      </c>
      <c r="C23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23" t="s">
        <v>21</v>
      </c>
      <c r="E23" t="s">
        <v>30</v>
      </c>
      <c r="F23">
        <v>60</v>
      </c>
      <c r="G23" s="2">
        <v>215</v>
      </c>
      <c r="H23" s="1">
        <f>Table2[[#This Row],[Price ]]/Table2[[#This Row],[Weight (g)]]*100</f>
        <v>358.33333333333337</v>
      </c>
    </row>
    <row r="24" spans="1:8" x14ac:dyDescent="0.3">
      <c r="A24" t="s">
        <v>32</v>
      </c>
      <c r="B24" t="s">
        <v>43</v>
      </c>
      <c r="C24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24" t="s">
        <v>21</v>
      </c>
      <c r="E24" t="s">
        <v>30</v>
      </c>
      <c r="F24">
        <v>80</v>
      </c>
      <c r="G24" s="2">
        <v>125</v>
      </c>
      <c r="H24" s="1">
        <f>Table2[[#This Row],[Price ]]/Table2[[#This Row],[Weight (g)]]*100</f>
        <v>156.25</v>
      </c>
    </row>
    <row r="25" spans="1:8" x14ac:dyDescent="0.3">
      <c r="A25" t="s">
        <v>32</v>
      </c>
      <c r="B25" t="s">
        <v>44</v>
      </c>
      <c r="C25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25" t="s">
        <v>21</v>
      </c>
      <c r="E25" t="s">
        <v>30</v>
      </c>
      <c r="F25">
        <v>40</v>
      </c>
      <c r="G25" s="2">
        <v>190</v>
      </c>
      <c r="H25" s="1">
        <f>Table2[[#This Row],[Price ]]/Table2[[#This Row],[Weight (g)]]*100</f>
        <v>475</v>
      </c>
    </row>
    <row r="26" spans="1:8" x14ac:dyDescent="0.3">
      <c r="A26" t="s">
        <v>32</v>
      </c>
      <c r="B26" t="s">
        <v>45</v>
      </c>
      <c r="C26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26" t="s">
        <v>19</v>
      </c>
      <c r="E26" t="s">
        <v>30</v>
      </c>
      <c r="F26">
        <v>400</v>
      </c>
      <c r="G26" s="2">
        <v>345</v>
      </c>
      <c r="H26" s="1">
        <f>Table2[[#This Row],[Price ]]/Table2[[#This Row],[Weight (g)]]*100</f>
        <v>86.25</v>
      </c>
    </row>
    <row r="27" spans="1:8" x14ac:dyDescent="0.3">
      <c r="A27" t="s">
        <v>32</v>
      </c>
      <c r="B27" t="s">
        <v>45</v>
      </c>
      <c r="C27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27" t="s">
        <v>19</v>
      </c>
      <c r="E27" t="s">
        <v>30</v>
      </c>
      <c r="F27">
        <v>200</v>
      </c>
      <c r="G27" s="2">
        <v>180</v>
      </c>
      <c r="H27" s="1">
        <f>Table2[[#This Row],[Price ]]/Table2[[#This Row],[Weight (g)]]*100</f>
        <v>90</v>
      </c>
    </row>
    <row r="28" spans="1:8" x14ac:dyDescent="0.3">
      <c r="A28" t="s">
        <v>32</v>
      </c>
      <c r="B28" t="s">
        <v>46</v>
      </c>
      <c r="C28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28" t="s">
        <v>21</v>
      </c>
      <c r="E28" t="s">
        <v>30</v>
      </c>
      <c r="F28">
        <v>37.5</v>
      </c>
      <c r="G28" s="2">
        <v>290</v>
      </c>
      <c r="H28" s="1">
        <f>Table2[[#This Row],[Price ]]/Table2[[#This Row],[Weight (g)]]*100</f>
        <v>773.33333333333337</v>
      </c>
    </row>
    <row r="29" spans="1:8" x14ac:dyDescent="0.3">
      <c r="A29" t="s">
        <v>32</v>
      </c>
      <c r="B29" t="s">
        <v>47</v>
      </c>
      <c r="C29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29" t="s">
        <v>21</v>
      </c>
      <c r="E29" t="s">
        <v>30</v>
      </c>
      <c r="F29">
        <v>37.5</v>
      </c>
      <c r="G29" s="2">
        <v>490</v>
      </c>
      <c r="H29" s="1">
        <f>Table2[[#This Row],[Price ]]/Table2[[#This Row],[Weight (g)]]*100</f>
        <v>1306.6666666666667</v>
      </c>
    </row>
    <row r="30" spans="1:8" x14ac:dyDescent="0.3">
      <c r="A30" t="s">
        <v>32</v>
      </c>
      <c r="B30" t="s">
        <v>48</v>
      </c>
      <c r="C30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30" t="s">
        <v>21</v>
      </c>
      <c r="E30" t="s">
        <v>30</v>
      </c>
      <c r="F30">
        <v>37.5</v>
      </c>
      <c r="G30" s="2">
        <v>490</v>
      </c>
      <c r="H30" s="1">
        <f>Table2[[#This Row],[Price ]]/Table2[[#This Row],[Weight (g)]]*100</f>
        <v>1306.6666666666667</v>
      </c>
    </row>
    <row r="31" spans="1:8" x14ac:dyDescent="0.3">
      <c r="A31" t="s">
        <v>32</v>
      </c>
      <c r="B31" t="s">
        <v>49</v>
      </c>
      <c r="C31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31" t="s">
        <v>21</v>
      </c>
      <c r="E31" t="s">
        <v>30</v>
      </c>
      <c r="F31">
        <v>40</v>
      </c>
      <c r="G31" s="2">
        <v>210</v>
      </c>
      <c r="H31" s="1">
        <f>Table2[[#This Row],[Price ]]/Table2[[#This Row],[Weight (g)]]*100</f>
        <v>525</v>
      </c>
    </row>
    <row r="32" spans="1:8" x14ac:dyDescent="0.3">
      <c r="A32" t="s">
        <v>32</v>
      </c>
      <c r="B32" t="s">
        <v>50</v>
      </c>
      <c r="C32" t="str">
        <f>IF(Table2[[#This Row],[Brand]]="Kazi &amp; Kazi", IF(ISNUMBER(SEARCH("Black",Table2[[#This Row],[Product]])),"Black Tea", IF(ISNUMBER(SEARCH("Green",Table2[[#This Row],[Product]])),"Green Tea","Specialty/Herbal")), "")</f>
        <v>Green Tea</v>
      </c>
      <c r="D32" t="s">
        <v>21</v>
      </c>
      <c r="E32" t="s">
        <v>30</v>
      </c>
      <c r="F32">
        <v>40</v>
      </c>
      <c r="G32" s="2">
        <v>210</v>
      </c>
      <c r="H32" s="1">
        <f>Table2[[#This Row],[Price ]]/Table2[[#This Row],[Weight (g)]]*100</f>
        <v>525</v>
      </c>
    </row>
    <row r="33" spans="1:8" x14ac:dyDescent="0.3">
      <c r="A33" t="s">
        <v>32</v>
      </c>
      <c r="B33" t="s">
        <v>51</v>
      </c>
      <c r="C33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33" t="s">
        <v>19</v>
      </c>
      <c r="E33" t="s">
        <v>30</v>
      </c>
      <c r="F33">
        <v>100</v>
      </c>
      <c r="G33" s="2">
        <v>190</v>
      </c>
      <c r="H33" s="1">
        <f>Table2[[#This Row],[Price ]]/Table2[[#This Row],[Weight (g)]]*100</f>
        <v>190</v>
      </c>
    </row>
    <row r="34" spans="1:8" x14ac:dyDescent="0.3">
      <c r="A34" t="s">
        <v>32</v>
      </c>
      <c r="B34" t="s">
        <v>52</v>
      </c>
      <c r="C34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34" t="s">
        <v>21</v>
      </c>
      <c r="E34" t="s">
        <v>30</v>
      </c>
      <c r="F34">
        <v>30</v>
      </c>
      <c r="G34" s="2">
        <v>210</v>
      </c>
      <c r="H34" s="1">
        <f>Table2[[#This Row],[Price ]]/Table2[[#This Row],[Weight (g)]]*100</f>
        <v>700</v>
      </c>
    </row>
    <row r="35" spans="1:8" x14ac:dyDescent="0.3">
      <c r="A35" t="s">
        <v>32</v>
      </c>
      <c r="B35" t="s">
        <v>53</v>
      </c>
      <c r="C35" t="str">
        <f>IF(Table2[[#This Row],[Brand]]="Kazi &amp; Kazi", IF(ISNUMBER(SEARCH("Black",Table2[[#This Row],[Product]])),"Black Tea", IF(ISNUMBER(SEARCH("Green",Table2[[#This Row],[Product]])),"Green Tea","Specialty/Herbal")), "")</f>
        <v>Specialty/Herbal</v>
      </c>
      <c r="D35" t="s">
        <v>21</v>
      </c>
      <c r="E35" t="s">
        <v>31</v>
      </c>
      <c r="F35">
        <v>65</v>
      </c>
      <c r="G35" s="2">
        <v>280</v>
      </c>
      <c r="H35" s="1">
        <f>Table2[[#This Row],[Price ]]/Table2[[#This Row],[Weight (g)]]*100</f>
        <v>430.76923076923077</v>
      </c>
    </row>
    <row r="36" spans="1:8" x14ac:dyDescent="0.3">
      <c r="A36" t="s">
        <v>32</v>
      </c>
      <c r="B36" t="s">
        <v>54</v>
      </c>
      <c r="C36" t="s">
        <v>78</v>
      </c>
      <c r="D36" t="s">
        <v>19</v>
      </c>
      <c r="E36" t="s">
        <v>31</v>
      </c>
      <c r="F36">
        <v>400</v>
      </c>
      <c r="G36" s="2">
        <v>245</v>
      </c>
      <c r="H36" s="1">
        <f>Table2[[#This Row],[Price ]]/Table2[[#This Row],[Weight (g)]]*100</f>
        <v>61.250000000000007</v>
      </c>
    </row>
    <row r="37" spans="1:8" x14ac:dyDescent="0.3">
      <c r="A37" t="s">
        <v>32</v>
      </c>
      <c r="B37" t="s">
        <v>55</v>
      </c>
      <c r="C37" t="str">
        <f>IF(Table2[[#This Row],[Brand]]="Kazi &amp; Kazi", IF(ISNUMBER(SEARCH("Black",Table2[[#This Row],[Product]])),"Black Tea", IF(ISNUMBER(SEARCH("Green",Table2[[#This Row],[Product]])),"Green Tea","Specialty/Herbal")), "")</f>
        <v>Black Tea</v>
      </c>
      <c r="D37" t="s">
        <v>19</v>
      </c>
      <c r="E37" t="s">
        <v>31</v>
      </c>
      <c r="F37">
        <v>100</v>
      </c>
      <c r="G37" s="2">
        <v>220</v>
      </c>
      <c r="H37" s="1">
        <f>Table2[[#This Row],[Price ]]/Table2[[#This Row],[Weight (g)]]*100</f>
        <v>220.00000000000003</v>
      </c>
    </row>
    <row r="38" spans="1:8" x14ac:dyDescent="0.3">
      <c r="A38" t="s">
        <v>56</v>
      </c>
      <c r="B38" t="s">
        <v>57</v>
      </c>
      <c r="C38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38" t="s">
        <v>19</v>
      </c>
      <c r="E38" t="s">
        <v>30</v>
      </c>
      <c r="F38">
        <v>200</v>
      </c>
      <c r="G38" s="2">
        <v>110</v>
      </c>
      <c r="H38" s="1">
        <f>Table2[[#This Row],[Price ]]/Table2[[#This Row],[Weight (g)]]*100</f>
        <v>55.000000000000007</v>
      </c>
    </row>
    <row r="39" spans="1:8" x14ac:dyDescent="0.3">
      <c r="A39" t="s">
        <v>56</v>
      </c>
      <c r="B39" t="s">
        <v>58</v>
      </c>
      <c r="C39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39" t="s">
        <v>19</v>
      </c>
      <c r="E39" t="s">
        <v>30</v>
      </c>
      <c r="F39">
        <v>200</v>
      </c>
      <c r="G39" s="2">
        <v>150</v>
      </c>
      <c r="H39" s="1">
        <f>Table2[[#This Row],[Price ]]/Table2[[#This Row],[Weight (g)]]*100</f>
        <v>75</v>
      </c>
    </row>
    <row r="40" spans="1:8" x14ac:dyDescent="0.3">
      <c r="A40" t="s">
        <v>56</v>
      </c>
      <c r="B40" t="s">
        <v>59</v>
      </c>
      <c r="C40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0" t="s">
        <v>21</v>
      </c>
      <c r="E40" t="s">
        <v>31</v>
      </c>
      <c r="F40">
        <v>50</v>
      </c>
      <c r="G40" s="2">
        <v>140</v>
      </c>
      <c r="H40" s="1">
        <f>Table2[[#This Row],[Price ]]/Table2[[#This Row],[Weight (g)]]*100</f>
        <v>280</v>
      </c>
    </row>
    <row r="41" spans="1:8" x14ac:dyDescent="0.3">
      <c r="A41" t="s">
        <v>56</v>
      </c>
      <c r="B41" t="s">
        <v>57</v>
      </c>
      <c r="C41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1" t="s">
        <v>19</v>
      </c>
      <c r="E41" t="s">
        <v>31</v>
      </c>
      <c r="F41">
        <v>400</v>
      </c>
      <c r="G41" s="2">
        <v>200</v>
      </c>
      <c r="H41" s="1">
        <f>Table2[[#This Row],[Price ]]/Table2[[#This Row],[Weight (g)]]*100</f>
        <v>50</v>
      </c>
    </row>
    <row r="42" spans="1:8" x14ac:dyDescent="0.3">
      <c r="A42" t="s">
        <v>56</v>
      </c>
      <c r="B42" t="s">
        <v>58</v>
      </c>
      <c r="C42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2" t="s">
        <v>19</v>
      </c>
      <c r="E42" t="s">
        <v>31</v>
      </c>
      <c r="F42">
        <v>500</v>
      </c>
      <c r="G42" s="2">
        <v>270</v>
      </c>
      <c r="H42" s="1">
        <f>Table2[[#This Row],[Price ]]/Table2[[#This Row],[Weight (g)]]*100</f>
        <v>54</v>
      </c>
    </row>
    <row r="43" spans="1:8" x14ac:dyDescent="0.3">
      <c r="A43" t="s">
        <v>56</v>
      </c>
      <c r="B43" t="s">
        <v>60</v>
      </c>
      <c r="C43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3" t="s">
        <v>21</v>
      </c>
      <c r="E43" t="s">
        <v>31</v>
      </c>
      <c r="F43">
        <v>62.5</v>
      </c>
      <c r="G43" s="2">
        <v>200</v>
      </c>
      <c r="H43" s="1">
        <f>Table2[[#This Row],[Price ]]/Table2[[#This Row],[Weight (g)]]*100</f>
        <v>320</v>
      </c>
    </row>
    <row r="44" spans="1:8" x14ac:dyDescent="0.3">
      <c r="A44" t="s">
        <v>61</v>
      </c>
      <c r="B44" t="s">
        <v>62</v>
      </c>
      <c r="C44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4" t="s">
        <v>63</v>
      </c>
      <c r="E44" t="s">
        <v>30</v>
      </c>
      <c r="F44">
        <v>15</v>
      </c>
      <c r="G44" s="2">
        <v>10</v>
      </c>
      <c r="H44" s="1">
        <f>Table2[[#This Row],[Price ]]/Table2[[#This Row],[Weight (g)]]*100</f>
        <v>66.666666666666657</v>
      </c>
    </row>
    <row r="45" spans="1:8" x14ac:dyDescent="0.3">
      <c r="A45" t="s">
        <v>61</v>
      </c>
      <c r="B45" t="s">
        <v>57</v>
      </c>
      <c r="C45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5" t="s">
        <v>19</v>
      </c>
      <c r="E45" t="s">
        <v>30</v>
      </c>
      <c r="F45">
        <v>500</v>
      </c>
      <c r="G45" s="2">
        <v>240</v>
      </c>
      <c r="H45" s="1">
        <f>Table2[[#This Row],[Price ]]/Table2[[#This Row],[Weight (g)]]*100</f>
        <v>48</v>
      </c>
    </row>
    <row r="46" spans="1:8" x14ac:dyDescent="0.3">
      <c r="A46" t="s">
        <v>61</v>
      </c>
      <c r="B46" t="s">
        <v>62</v>
      </c>
      <c r="C46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6" t="s">
        <v>63</v>
      </c>
      <c r="E46" t="s">
        <v>30</v>
      </c>
      <c r="F46">
        <v>150</v>
      </c>
      <c r="G46" s="2">
        <v>100</v>
      </c>
      <c r="H46" s="1">
        <f>Table2[[#This Row],[Price ]]/Table2[[#This Row],[Weight (g)]]*100</f>
        <v>66.666666666666657</v>
      </c>
    </row>
    <row r="47" spans="1:8" x14ac:dyDescent="0.3">
      <c r="A47" t="s">
        <v>61</v>
      </c>
      <c r="B47" t="s">
        <v>64</v>
      </c>
      <c r="C47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7" t="s">
        <v>19</v>
      </c>
      <c r="E47" t="s">
        <v>30</v>
      </c>
      <c r="F47">
        <v>400</v>
      </c>
      <c r="G47" s="2">
        <v>225</v>
      </c>
      <c r="H47" s="1">
        <f>Table2[[#This Row],[Price ]]/Table2[[#This Row],[Weight (g)]]*100</f>
        <v>56.25</v>
      </c>
    </row>
    <row r="48" spans="1:8" x14ac:dyDescent="0.3">
      <c r="A48" t="s">
        <v>61</v>
      </c>
      <c r="B48" t="s">
        <v>65</v>
      </c>
      <c r="C48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8" t="s">
        <v>19</v>
      </c>
      <c r="E48" t="s">
        <v>30</v>
      </c>
      <c r="F48">
        <v>400</v>
      </c>
      <c r="G48" s="2">
        <v>225</v>
      </c>
      <c r="H48" s="1">
        <f>Table2[[#This Row],[Price ]]/Table2[[#This Row],[Weight (g)]]*100</f>
        <v>56.25</v>
      </c>
    </row>
    <row r="49" spans="1:8" x14ac:dyDescent="0.3">
      <c r="A49" t="s">
        <v>61</v>
      </c>
      <c r="B49" t="s">
        <v>64</v>
      </c>
      <c r="C49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49" t="s">
        <v>19</v>
      </c>
      <c r="E49" t="s">
        <v>30</v>
      </c>
      <c r="F49">
        <v>200</v>
      </c>
      <c r="G49" s="2">
        <v>120</v>
      </c>
      <c r="H49" s="1">
        <f>Table2[[#This Row],[Price ]]/Table2[[#This Row],[Weight (g)]]*100</f>
        <v>60</v>
      </c>
    </row>
    <row r="50" spans="1:8" x14ac:dyDescent="0.3">
      <c r="A50" t="s">
        <v>61</v>
      </c>
      <c r="B50" t="s">
        <v>66</v>
      </c>
      <c r="C50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0" t="s">
        <v>19</v>
      </c>
      <c r="E50" t="s">
        <v>31</v>
      </c>
      <c r="F50">
        <v>500</v>
      </c>
      <c r="G50" s="2">
        <v>195</v>
      </c>
      <c r="H50" s="1">
        <f>Table2[[#This Row],[Price ]]/Table2[[#This Row],[Weight (g)]]*100</f>
        <v>39</v>
      </c>
    </row>
    <row r="51" spans="1:8" x14ac:dyDescent="0.3">
      <c r="A51" t="s">
        <v>67</v>
      </c>
      <c r="B51" t="s">
        <v>58</v>
      </c>
      <c r="C51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1" t="s">
        <v>21</v>
      </c>
      <c r="E51" t="s">
        <v>30</v>
      </c>
      <c r="F51">
        <v>100</v>
      </c>
      <c r="G51" s="2">
        <v>95</v>
      </c>
      <c r="H51" s="1">
        <f>Table2[[#This Row],[Price ]]/Table2[[#This Row],[Weight (g)]]*100</f>
        <v>95</v>
      </c>
    </row>
    <row r="52" spans="1:8" x14ac:dyDescent="0.3">
      <c r="A52" t="s">
        <v>67</v>
      </c>
      <c r="B52" t="s">
        <v>68</v>
      </c>
      <c r="C52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2" t="s">
        <v>19</v>
      </c>
      <c r="E52" t="s">
        <v>31</v>
      </c>
      <c r="F52">
        <v>200</v>
      </c>
      <c r="G52" s="2">
        <v>120</v>
      </c>
      <c r="H52" s="1">
        <f>Table2[[#This Row],[Price ]]/Table2[[#This Row],[Weight (g)]]*100</f>
        <v>60</v>
      </c>
    </row>
    <row r="53" spans="1:8" x14ac:dyDescent="0.3">
      <c r="A53" t="s">
        <v>67</v>
      </c>
      <c r="B53" t="s">
        <v>69</v>
      </c>
      <c r="C53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3" t="s">
        <v>21</v>
      </c>
      <c r="E53" t="s">
        <v>31</v>
      </c>
      <c r="F53">
        <v>50</v>
      </c>
      <c r="G53" s="2">
        <v>110</v>
      </c>
      <c r="H53" s="1">
        <f>Table2[[#This Row],[Price ]]/Table2[[#This Row],[Weight (g)]]*100</f>
        <v>220.00000000000003</v>
      </c>
    </row>
    <row r="54" spans="1:8" x14ac:dyDescent="0.3">
      <c r="A54" t="s">
        <v>74</v>
      </c>
      <c r="B54" t="s">
        <v>78</v>
      </c>
      <c r="C54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4" t="s">
        <v>19</v>
      </c>
      <c r="E54" t="s">
        <v>30</v>
      </c>
      <c r="F54">
        <v>200</v>
      </c>
      <c r="G54" s="2">
        <v>130</v>
      </c>
      <c r="H54" s="1">
        <f>Table2[[#This Row],[Price ]]/Table2[[#This Row],[Weight (g)]]*100</f>
        <v>65</v>
      </c>
    </row>
    <row r="55" spans="1:8" x14ac:dyDescent="0.3">
      <c r="A55" t="s">
        <v>74</v>
      </c>
      <c r="B55" t="s">
        <v>78</v>
      </c>
      <c r="C55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5" t="s">
        <v>19</v>
      </c>
      <c r="E55" t="s">
        <v>30</v>
      </c>
      <c r="F55">
        <v>400</v>
      </c>
      <c r="G55" s="2">
        <v>250</v>
      </c>
      <c r="H55" s="1">
        <f>Table2[[#This Row],[Price ]]/Table2[[#This Row],[Weight (g)]]*100</f>
        <v>62.5</v>
      </c>
    </row>
    <row r="56" spans="1:8" x14ac:dyDescent="0.3">
      <c r="A56" t="s">
        <v>74</v>
      </c>
      <c r="B56" t="s">
        <v>78</v>
      </c>
      <c r="C56" t="str">
        <f>IF(Table2[[#This Row],[Brand]]="Kazi &amp; Kazi", IF(ISNUMBER(SEARCH("Black",Table2[[#This Row],[Product]])),"Black Tea", IF(ISNUMBER(SEARCH("Green",Table2[[#This Row],[Product]])),"Green Tea","Specialty/Herbal")), "")</f>
        <v/>
      </c>
      <c r="D56" t="s">
        <v>21</v>
      </c>
      <c r="E56" t="s">
        <v>30</v>
      </c>
      <c r="F56">
        <v>95</v>
      </c>
      <c r="G56" s="2">
        <v>95</v>
      </c>
      <c r="H56" s="1">
        <f>Table2[[#This Row],[Price ]]/Table2[[#This Row],[Weight (g)]]*100</f>
        <v>100</v>
      </c>
    </row>
  </sheetData>
  <pageMargins left="0.7" right="0.7" top="0.75" bottom="0.75" header="0.3" footer="0.3"/>
  <ignoredErrors>
    <ignoredError sqref="C36 C8:C12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F1" activeCellId="1" sqref="A1:A1048576 F1:F1048576"/>
    </sheetView>
  </sheetViews>
  <sheetFormatPr defaultRowHeight="14.4" x14ac:dyDescent="0.3"/>
  <cols>
    <col min="1" max="1" width="16.88671875" bestFit="1" customWidth="1"/>
    <col min="2" max="2" width="53.6640625" customWidth="1"/>
    <col min="3" max="3" width="18.88671875" style="1" bestFit="1" customWidth="1"/>
    <col min="4" max="4" width="19.21875" style="1" bestFit="1" customWidth="1"/>
    <col min="5" max="5" width="18.77734375" style="1" bestFit="1" customWidth="1"/>
    <col min="6" max="6" width="21.88671875" style="1" bestFit="1" customWidth="1"/>
    <col min="7" max="7" width="20.77734375" style="1" bestFit="1" customWidth="1"/>
    <col min="8" max="8" width="25.21875" style="1" bestFit="1" customWidth="1"/>
    <col min="9" max="9" width="22.6640625" bestFit="1" customWidth="1"/>
    <col min="10" max="10" width="14.6640625" bestFit="1" customWidth="1"/>
    <col min="11" max="11" width="14.21875" bestFit="1" customWidth="1"/>
    <col min="12" max="12" width="18" bestFit="1" customWidth="1"/>
    <col min="13" max="13" width="20.5546875" bestFit="1" customWidth="1"/>
    <col min="14" max="14" width="21.5546875" bestFit="1" customWidth="1"/>
    <col min="15" max="15" width="13.5546875" style="3" bestFit="1" customWidth="1"/>
    <col min="16" max="16" width="15.33203125" bestFit="1" customWidth="1"/>
    <col min="17" max="17" width="31.109375" bestFit="1" customWidth="1"/>
    <col min="18" max="18" width="61.33203125" bestFit="1" customWidth="1"/>
  </cols>
  <sheetData>
    <row r="1" spans="1:18" x14ac:dyDescent="0.3">
      <c r="A1" t="s">
        <v>0</v>
      </c>
      <c r="B1" t="s">
        <v>1</v>
      </c>
      <c r="C1" s="1" t="s">
        <v>6</v>
      </c>
      <c r="D1" s="1" t="s">
        <v>7</v>
      </c>
      <c r="E1" s="1" t="s">
        <v>8</v>
      </c>
      <c r="F1" s="1" t="s">
        <v>88</v>
      </c>
      <c r="G1" s="1" t="s">
        <v>89</v>
      </c>
      <c r="H1" s="1" t="s">
        <v>2</v>
      </c>
      <c r="I1" t="s">
        <v>3</v>
      </c>
      <c r="J1" t="s">
        <v>79</v>
      </c>
      <c r="K1" t="s">
        <v>87</v>
      </c>
      <c r="L1" t="s">
        <v>86</v>
      </c>
      <c r="M1" t="s">
        <v>70</v>
      </c>
      <c r="N1" t="s">
        <v>80</v>
      </c>
      <c r="O1" s="3" t="s">
        <v>4</v>
      </c>
      <c r="P1" t="s">
        <v>5</v>
      </c>
      <c r="Q1" t="s">
        <v>17</v>
      </c>
      <c r="R1" t="s">
        <v>81</v>
      </c>
    </row>
    <row r="2" spans="1:18" x14ac:dyDescent="0.3">
      <c r="A2" t="s">
        <v>13</v>
      </c>
      <c r="B2" s="4" t="s">
        <v>14</v>
      </c>
      <c r="C2" s="1">
        <f>_xlfn.MINIFS(RawPrices!H:H,RawPrices!A:A,"Ispahani")</f>
        <v>46.25</v>
      </c>
      <c r="D2" s="1">
        <f>_xlfn.MAXIFS(Table2[Price/100g],Table2[Brand],"Ispahani")</f>
        <v>314.28571428571428</v>
      </c>
      <c r="E2" s="1">
        <f>AVERAGEIFS(Table2[Price/100g],Table2[Brand],"Ispahani")</f>
        <v>104.3577380952381</v>
      </c>
      <c r="F2" s="1">
        <f>AVERAGEIFS(RawPrices!H:H,RawPrices!A:A,"Ispahani",RawPrices!D:D,"Loose")</f>
        <v>60.572222222222223</v>
      </c>
      <c r="G2" s="1">
        <f>AVERAGEIFS(RawPrices!H:H,RawPrices!A:A,"Ispahani", RawPrices!D:D,"Teabag")</f>
        <v>235.71428571428569</v>
      </c>
      <c r="H2" t="str">
        <f>IF(Table1[[#This Row],[Avg Price per 100g]]&lt;80,"Budget",IF(Table1[[#This Row],[Avg Price per 100g]]&lt;200,"Mid","Premium"))</f>
        <v>Mid</v>
      </c>
      <c r="I2">
        <f>COUNTIF(Table2[Brand],"Ispahani")</f>
        <v>12</v>
      </c>
      <c r="J2">
        <f>COUNTIFS(Table2[Brand],"Ispahani",Table2[[Stock Status ]],"In Stock")</f>
        <v>10</v>
      </c>
      <c r="K2" s="7">
        <f>_xlfn.PERCENTOF(Table1[[#This Row],[SKUs In Stock]],Table1[[#This Row],[No. of SKUs on Chaldal]])</f>
        <v>0.83333333333333337</v>
      </c>
      <c r="L2" s="7">
        <f>_xlfn.PERCENTOF(Table1[[#This Row],[No. of SKUs on Chaldal]]-Table1[[#This Row],[SKUs In Stock]],Table1[[#This Row],[No. of SKUs on Chaldal]])</f>
        <v>0.16666666666666666</v>
      </c>
      <c r="M2" t="s">
        <v>71</v>
      </c>
      <c r="N2" t="s">
        <v>71</v>
      </c>
      <c r="O2" s="3">
        <v>1100000</v>
      </c>
      <c r="P2" t="s">
        <v>15</v>
      </c>
      <c r="Q2" t="s">
        <v>16</v>
      </c>
    </row>
    <row r="3" spans="1:18" x14ac:dyDescent="0.3">
      <c r="A3" t="s">
        <v>32</v>
      </c>
      <c r="B3" t="s">
        <v>76</v>
      </c>
      <c r="C3" s="1">
        <f>_xlfn.MINIFS(RawPrices!H:H,RawPrices!A:A,"Kazi &amp; Kazi")</f>
        <v>61.250000000000007</v>
      </c>
      <c r="D3" s="1">
        <f>_xlfn.MAXIFS(Table2[Price/100g],Table2[Brand],"Kazi &amp; Kazi")</f>
        <v>1306.6666666666667</v>
      </c>
      <c r="E3" s="1">
        <f>AVERAGEIFS(Table2[Price/100g],Table2[Brand],"Kazi &amp; Kazi")</f>
        <v>440.25774572649578</v>
      </c>
      <c r="F3" s="1">
        <f>AVERAGEIFS(RawPrices!H:H,RawPrices!A:A,"Kazi &amp; Kazi",RawPrices!D:D,"Loose")</f>
        <v>165.3125</v>
      </c>
      <c r="G3" s="1">
        <f>AVERAGEIFS(RawPrices!H:H,RawPrices!A:A,"Kazi &amp; Kazi", RawPrices!D:D,"Teabag")</f>
        <v>577.73036858974365</v>
      </c>
      <c r="H3" t="str">
        <f>IF(Table1[[#This Row],[Avg Price per 100g]]&lt;80,"Budget",IF(Table1[[#This Row],[Avg Price per 100g]]&lt;200,"Mid","Premium"))</f>
        <v>Premium</v>
      </c>
      <c r="I3">
        <f>COUNTIF(Table2[Brand],"Kazi &amp; Kazi")</f>
        <v>24</v>
      </c>
      <c r="J3">
        <f>COUNTIFS(Table2[Brand],"Kazi &amp; Kazi",Table2[[Stock Status ]],"In Stock")</f>
        <v>19</v>
      </c>
      <c r="K3" s="7">
        <f>_xlfn.PERCENTOF(Table1[[#This Row],[SKUs In Stock]],Table1[[#This Row],[No. of SKUs on Chaldal]])</f>
        <v>0.79166666666666663</v>
      </c>
      <c r="L3" s="7">
        <f>_xlfn.PERCENTOF(Table1[[#This Row],[No. of SKUs on Chaldal]]-Table1[[#This Row],[SKUs In Stock]],Table1[[#This Row],[No. of SKUs on Chaldal]])</f>
        <v>0.20833333333333334</v>
      </c>
      <c r="M3" t="s">
        <v>15</v>
      </c>
      <c r="N3" t="s">
        <v>15</v>
      </c>
      <c r="O3" s="3">
        <v>200000</v>
      </c>
      <c r="P3" t="s">
        <v>15</v>
      </c>
      <c r="Q3" t="s">
        <v>16</v>
      </c>
      <c r="R3" t="s">
        <v>84</v>
      </c>
    </row>
    <row r="4" spans="1:18" x14ac:dyDescent="0.3">
      <c r="A4" t="s">
        <v>56</v>
      </c>
      <c r="B4" t="s">
        <v>77</v>
      </c>
      <c r="C4" s="1">
        <f>_xlfn.MINIFS(RawPrices!H:H,RawPrices!A:A,"Finlay")</f>
        <v>50</v>
      </c>
      <c r="D4" s="1">
        <f>_xlfn.MAXIFS(RawPrices!H:H,RawPrices!A:A,"Finlay")</f>
        <v>320</v>
      </c>
      <c r="E4" s="1">
        <f>AVERAGEIFS(RawPrices!H:H,RawPrices!A:A,"Finlay")</f>
        <v>139</v>
      </c>
      <c r="F4" s="1">
        <f>AVERAGEIFS(RawPrices!H:H,RawPrices!A:A,"Finlay",RawPrices!D:D,"Loose")</f>
        <v>58.5</v>
      </c>
      <c r="G4" s="1">
        <f>AVERAGEIFS(RawPrices!H:H,RawPrices!A:A,"Finlay", RawPrices!D:D,"Teabag")</f>
        <v>300</v>
      </c>
      <c r="H4" s="1" t="str">
        <f>IF(Table1[[#This Row],[Avg Price per 100g]]&lt;80,"Budget",IF(Table1[[#This Row],[Avg Price per 100g]]&lt;200,"Mid","Premium"))</f>
        <v>Mid</v>
      </c>
      <c r="I4">
        <f>COUNTIF(Table2[Brand],"Finlay")</f>
        <v>6</v>
      </c>
      <c r="J4">
        <f>COUNTIFS(Table2[Brand],"Finlay",Table2[[Stock Status ]],"In Stock")</f>
        <v>2</v>
      </c>
      <c r="K4" s="7">
        <f>_xlfn.PERCENTOF(Table1[[#This Row],[SKUs In Stock]],Table1[[#This Row],[No. of SKUs on Chaldal]])</f>
        <v>0.33333333333333331</v>
      </c>
      <c r="L4" s="7">
        <f>_xlfn.PERCENTOF(Table1[[#This Row],[No. of SKUs on Chaldal]]-Table1[[#This Row],[SKUs In Stock]],Table1[[#This Row],[No. of SKUs on Chaldal]])</f>
        <v>0.66666666666666663</v>
      </c>
      <c r="M4" t="s">
        <v>71</v>
      </c>
      <c r="N4" t="s">
        <v>71</v>
      </c>
      <c r="O4" s="3">
        <v>152000</v>
      </c>
      <c r="P4" t="s">
        <v>15</v>
      </c>
      <c r="Q4" t="s">
        <v>16</v>
      </c>
      <c r="R4" t="s">
        <v>82</v>
      </c>
    </row>
    <row r="5" spans="1:18" x14ac:dyDescent="0.3">
      <c r="A5" t="s">
        <v>61</v>
      </c>
      <c r="B5" t="s">
        <v>72</v>
      </c>
      <c r="C5" s="1">
        <f>_xlfn.MINIFS(Table2[Price/100g],Table2[Brand],"Seylon")</f>
        <v>39</v>
      </c>
      <c r="D5" s="1">
        <f>_xlfn.MAXIFS(Table2[Price/100g],Table2[Brand],"Seylon")</f>
        <v>66.666666666666657</v>
      </c>
      <c r="E5" s="1">
        <f>AVERAGEIFS(Table2[Price/100g],Table2[Brand],"Seylon")</f>
        <v>56.119047619047613</v>
      </c>
      <c r="F5" s="1">
        <f>AVERAGEIFS(RawPrices!H:H,RawPrices!A:A,"Seylon",RawPrices!D:D,"Loose")</f>
        <v>51.9</v>
      </c>
      <c r="H5" s="1" t="str">
        <f>IF(Table1[[#This Row],[Avg Price per 100g]]&lt;80,"Budget",IF(Table1[[#This Row],[Avg Price per 100g]]&lt;200,"Mid","Premium"))</f>
        <v>Budget</v>
      </c>
      <c r="I5">
        <f>COUNTIF(Table2[Brand],"Seylon")</f>
        <v>7</v>
      </c>
      <c r="J5">
        <f>COUNTIFS(Table2[Brand],"Seylon",Table2[[Stock Status ]],"In Stock")</f>
        <v>6</v>
      </c>
      <c r="K5" s="7">
        <f>_xlfn.PERCENTOF(Table1[[#This Row],[SKUs In Stock]],Table1[[#This Row],[No. of SKUs on Chaldal]])</f>
        <v>0.8571428571428571</v>
      </c>
      <c r="L5" s="7">
        <f>_xlfn.PERCENTOF(Table1[[#This Row],[No. of SKUs on Chaldal]]-Table1[[#This Row],[SKUs In Stock]],Table1[[#This Row],[No. of SKUs on Chaldal]])</f>
        <v>0.14285714285714285</v>
      </c>
      <c r="M5" t="s">
        <v>71</v>
      </c>
      <c r="N5" t="s">
        <v>71</v>
      </c>
      <c r="O5" s="3">
        <v>511000</v>
      </c>
      <c r="P5" t="s">
        <v>15</v>
      </c>
      <c r="Q5" t="s">
        <v>16</v>
      </c>
    </row>
    <row r="6" spans="1:18" x14ac:dyDescent="0.3">
      <c r="A6" t="s">
        <v>67</v>
      </c>
      <c r="B6" t="s">
        <v>73</v>
      </c>
      <c r="C6" s="1">
        <f>_xlfn.MINIFS(Table2[Price/100g],Table2[Brand],"Fresh")</f>
        <v>60</v>
      </c>
      <c r="D6" s="1">
        <f>_xlfn.MAXIFS(Table2[Price/100g],Table2[Brand],"Fresh")</f>
        <v>220.00000000000003</v>
      </c>
      <c r="E6" s="1">
        <f>AVERAGEIFS(Table2[Price/100g],Table2[Brand],"Fresh")</f>
        <v>125</v>
      </c>
      <c r="F6" s="1">
        <f>AVERAGEIFS(RawPrices!H:H,RawPrices!A:A,"Fresh",RawPrices!D:D,"Loose")</f>
        <v>60</v>
      </c>
      <c r="G6" s="1">
        <f>AVERAGEIFS(RawPrices!H:H,RawPrices!A:A,"Fresh", RawPrices!D:D,"Teabag")</f>
        <v>157.5</v>
      </c>
      <c r="H6" s="1" t="str">
        <f>IF(Table1[[#This Row],[Avg Price per 100g]]&lt;80,"Budget",IF(Table1[[#This Row],[Avg Price per 100g]]&lt;200,"Mid","Premium"))</f>
        <v>Mid</v>
      </c>
      <c r="I6">
        <f>COUNTIF(Table2[Brand],"Fresh")</f>
        <v>3</v>
      </c>
      <c r="J6">
        <f>COUNTIFS(Table2[Brand],"Fresh",Table2[[Stock Status ]],"In Stock")</f>
        <v>1</v>
      </c>
      <c r="K6" s="7">
        <f>_xlfn.PERCENTOF(Table1[[#This Row],[SKUs In Stock]],Table1[[#This Row],[No. of SKUs on Chaldal]])</f>
        <v>0.33333333333333331</v>
      </c>
      <c r="L6" s="7">
        <f>_xlfn.PERCENTOF(Table1[[#This Row],[No. of SKUs on Chaldal]]-Table1[[#This Row],[SKUs In Stock]],Table1[[#This Row],[No. of SKUs on Chaldal]])</f>
        <v>0.66666666666666663</v>
      </c>
      <c r="M6" t="s">
        <v>71</v>
      </c>
      <c r="N6" t="s">
        <v>71</v>
      </c>
      <c r="O6" s="3">
        <v>137000</v>
      </c>
      <c r="P6" t="s">
        <v>15</v>
      </c>
      <c r="Q6" t="s">
        <v>16</v>
      </c>
    </row>
    <row r="7" spans="1:18" x14ac:dyDescent="0.3">
      <c r="A7" t="s">
        <v>74</v>
      </c>
      <c r="B7" t="s">
        <v>75</v>
      </c>
      <c r="C7" s="1">
        <f>_xlfn.MINIFS(Table2[Price/100g],Table2[Brand],"Brooke Bond Taaza")</f>
        <v>62.5</v>
      </c>
      <c r="D7" s="1">
        <f>_xlfn.MAXIFS(Table2[Price/100g],Table2[Brand],"Brooke Bond Taaza")</f>
        <v>100</v>
      </c>
      <c r="E7" s="1">
        <f>AVERAGEIFS(Table2[Price/100g],Table2[Brand],"Brooke Bond Taaza")</f>
        <v>75.833333333333329</v>
      </c>
      <c r="F7" s="1">
        <f>AVERAGEIFS(RawPrices!H:H,RawPrices!A:A,"Brooke Bond Taaza",RawPrices!D:D,"Loose")</f>
        <v>63.75</v>
      </c>
      <c r="G7" s="1">
        <f>AVERAGEIFS(RawPrices!H:H,RawPrices!A:A,"Brooke Bond Taaza", RawPrices!D:D,"Teabag")</f>
        <v>100</v>
      </c>
      <c r="H7" s="1" t="str">
        <f>IF(Table1[[#This Row],[Avg Price per 100g]]&lt;80,"Budget",IF(Table1[[#This Row],[Avg Price per 100g]]&lt;200,"Mid","Premium"))</f>
        <v>Budget</v>
      </c>
      <c r="I7">
        <f>COUNTIF(Table2[Brand],"Brooke Bond Taaza")</f>
        <v>3</v>
      </c>
      <c r="J7">
        <f>COUNTIFS(Table2[Brand],"Brooke Bond Taaza",Table2[[Stock Status ]],"In Stock")</f>
        <v>3</v>
      </c>
      <c r="K7" s="7">
        <f>_xlfn.PERCENTOF(Table1[[#This Row],[SKUs In Stock]],Table1[[#This Row],[No. of SKUs on Chaldal]])</f>
        <v>1</v>
      </c>
      <c r="L7" s="7">
        <f>_xlfn.PERCENTOF(Table1[[#This Row],[No. of SKUs on Chaldal]]-Table1[[#This Row],[SKUs In Stock]],Table1[[#This Row],[No. of SKUs on Chaldal]])</f>
        <v>0</v>
      </c>
      <c r="M7" t="s">
        <v>71</v>
      </c>
      <c r="N7" t="s">
        <v>71</v>
      </c>
      <c r="O7" s="3">
        <v>138000</v>
      </c>
      <c r="P7" t="s">
        <v>71</v>
      </c>
      <c r="Q7" t="s">
        <v>16</v>
      </c>
    </row>
    <row r="8" spans="1:18" x14ac:dyDescent="0.3">
      <c r="H8" s="5" t="s">
        <v>85</v>
      </c>
      <c r="I8">
        <f>SUBTOTAL(109,Table1[No. of SKUs on Chaldal])</f>
        <v>55</v>
      </c>
      <c r="O8" s="6"/>
    </row>
    <row r="13" spans="1:18" x14ac:dyDescent="0.3">
      <c r="N13" s="3"/>
      <c r="O13"/>
    </row>
    <row r="14" spans="1:18" x14ac:dyDescent="0.3">
      <c r="N14" s="3"/>
      <c r="O14"/>
    </row>
    <row r="15" spans="1:18" x14ac:dyDescent="0.3">
      <c r="N15" s="3"/>
      <c r="O15"/>
    </row>
    <row r="16" spans="1:18" x14ac:dyDescent="0.3">
      <c r="M16" s="3"/>
      <c r="O16"/>
    </row>
    <row r="17" spans="13:15" x14ac:dyDescent="0.3">
      <c r="M17" s="3"/>
      <c r="O17"/>
    </row>
    <row r="18" spans="13:15" x14ac:dyDescent="0.3">
      <c r="N18" s="3"/>
      <c r="O18"/>
    </row>
    <row r="19" spans="13:15" x14ac:dyDescent="0.3">
      <c r="N19" s="3"/>
      <c r="O19"/>
    </row>
    <row r="20" spans="13:15" x14ac:dyDescent="0.3">
      <c r="N20" s="3"/>
      <c r="O20"/>
    </row>
    <row r="21" spans="13:15" x14ac:dyDescent="0.3">
      <c r="N21" s="3"/>
      <c r="O21"/>
    </row>
  </sheetData>
  <pageMargins left="0.7" right="0.7" top="0.75" bottom="0.75" header="0.3" footer="0.3"/>
  <ignoredErrors>
    <ignoredError sqref="F3:G6 F7:G7 C2:C7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RawPrices</vt:lpstr>
      <vt:lpstr>PriceSummary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Hasan</dc:creator>
  <cp:lastModifiedBy>Natasha Hasan</cp:lastModifiedBy>
  <dcterms:created xsi:type="dcterms:W3CDTF">2015-06-05T18:17:20Z</dcterms:created>
  <dcterms:modified xsi:type="dcterms:W3CDTF">2026-06-07T13:15:41Z</dcterms:modified>
</cp:coreProperties>
</file>